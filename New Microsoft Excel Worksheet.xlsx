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6a55adb6a7e2ab4/Desktop/"/>
    </mc:Choice>
  </mc:AlternateContent>
  <xr:revisionPtr revIDLastSave="1" documentId="13_ncr:1_{B688872D-552E-49DA-9845-74111223D0BF}" xr6:coauthVersionLast="47" xr6:coauthVersionMax="47" xr10:uidLastSave="{824DAFA5-D391-4D24-BAB6-8F3BB9F39922}"/>
  <bookViews>
    <workbookView xWindow="-120" yWindow="-120" windowWidth="20730" windowHeight="11040" activeTab="2" xr2:uid="{00000000-000D-0000-FFFF-FFFF00000000}"/>
  </bookViews>
  <sheets>
    <sheet name="Lecture 8" sheetId="2" r:id="rId1"/>
    <sheet name="Tamanna" sheetId="1" r:id="rId2"/>
    <sheet name="Sheet1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3" l="1"/>
  <c r="J119" i="1"/>
  <c r="M74" i="1"/>
  <c r="M75" i="1"/>
  <c r="M76" i="1"/>
  <c r="M77" i="1"/>
  <c r="M78" i="1"/>
  <c r="M79" i="1"/>
  <c r="M80" i="1"/>
  <c r="M81" i="1"/>
  <c r="M82" i="1"/>
  <c r="M83" i="1"/>
  <c r="L58" i="1"/>
</calcChain>
</file>

<file path=xl/sharedStrings.xml><?xml version="1.0" encoding="utf-8"?>
<sst xmlns="http://schemas.openxmlformats.org/spreadsheetml/2006/main" count="177" uniqueCount="111">
  <si>
    <t>Mon</t>
  </si>
  <si>
    <t>Sun</t>
  </si>
  <si>
    <t>Tue</t>
  </si>
  <si>
    <t>Wed</t>
  </si>
  <si>
    <t>Thu</t>
  </si>
  <si>
    <t>Fri</t>
  </si>
  <si>
    <t>Sat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</si>
  <si>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</si>
  <si>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</si>
  <si>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</si>
  <si>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</si>
  <si>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</si>
  <si>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</si>
  <si>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</si>
  <si>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</si>
  <si>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</si>
  <si>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</si>
  <si>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Sunday</t>
  </si>
  <si>
    <t>Monday</t>
  </si>
  <si>
    <t>Friday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</si>
  <si>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</si>
  <si>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</si>
  <si>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</si>
  <si>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</si>
  <si>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</si>
  <si>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</si>
  <si>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</si>
  <si>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</si>
  <si>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</si>
  <si>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</si>
  <si>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Tuesday</t>
  </si>
  <si>
    <t>Wednesday</t>
  </si>
  <si>
    <t>Thursday</t>
  </si>
  <si>
    <t>Saturday</t>
  </si>
  <si>
    <t>Amazing world</t>
  </si>
  <si>
    <t>Beast world riki pvt.ltd</t>
  </si>
  <si>
    <t>S.No</t>
  </si>
  <si>
    <t>Name</t>
  </si>
  <si>
    <t>ID Number</t>
  </si>
  <si>
    <t>Salary</t>
  </si>
  <si>
    <t>Radha</t>
  </si>
  <si>
    <t>Neha</t>
  </si>
  <si>
    <t>Sapna</t>
  </si>
  <si>
    <t>Ananya</t>
  </si>
  <si>
    <t>Ridhima</t>
  </si>
  <si>
    <t>Lisha</t>
  </si>
  <si>
    <t>Karuna</t>
  </si>
  <si>
    <t>Manav</t>
  </si>
  <si>
    <t>G2A001</t>
  </si>
  <si>
    <t>G2A002</t>
  </si>
  <si>
    <t>G2A003</t>
  </si>
  <si>
    <t>G2A004</t>
  </si>
  <si>
    <t>G2A005</t>
  </si>
  <si>
    <t>G2A006</t>
  </si>
  <si>
    <t>G2A007</t>
  </si>
  <si>
    <t>G2A008</t>
  </si>
  <si>
    <t>G2A009</t>
  </si>
  <si>
    <t>LECTURE 5</t>
  </si>
  <si>
    <t>HIGHLIGHTING DATA</t>
  </si>
  <si>
    <t>Aman</t>
  </si>
  <si>
    <t>Ankush</t>
  </si>
  <si>
    <t>Kamlesh</t>
  </si>
  <si>
    <t>Rupesh</t>
  </si>
  <si>
    <t>Rihana</t>
  </si>
  <si>
    <t>Rinki</t>
  </si>
  <si>
    <t>Alisha</t>
  </si>
  <si>
    <t>Saurabh</t>
  </si>
  <si>
    <t>Manish</t>
  </si>
  <si>
    <t>Manju</t>
  </si>
  <si>
    <t>Lecture  6</t>
  </si>
  <si>
    <t>Lecture - 7</t>
  </si>
  <si>
    <t>Hindi</t>
  </si>
  <si>
    <t>English</t>
  </si>
  <si>
    <t>Maths</t>
  </si>
  <si>
    <t>Science</t>
  </si>
  <si>
    <t>S.S.T</t>
  </si>
  <si>
    <t>Raghav</t>
  </si>
  <si>
    <t>Kunal</t>
  </si>
  <si>
    <t>Suneeta</t>
  </si>
  <si>
    <t>Sushma</t>
  </si>
  <si>
    <t>Pooja</t>
  </si>
  <si>
    <t>kushum</t>
  </si>
  <si>
    <t>Pankaj</t>
  </si>
  <si>
    <t>Pushpa</t>
  </si>
  <si>
    <t>Renu</t>
  </si>
  <si>
    <t>Manoj</t>
  </si>
  <si>
    <t>Total</t>
  </si>
  <si>
    <t>Column1</t>
  </si>
  <si>
    <t>Column2</t>
  </si>
  <si>
    <t>Lecture   8</t>
  </si>
  <si>
    <t>Karan</t>
  </si>
  <si>
    <t>Mohan</t>
  </si>
  <si>
    <t>Suman</t>
  </si>
  <si>
    <t>Sanjay</t>
  </si>
  <si>
    <t>Sohan</t>
  </si>
  <si>
    <t>G2A010</t>
  </si>
  <si>
    <t>G2A011</t>
  </si>
  <si>
    <t>G2A012</t>
  </si>
  <si>
    <t>Grand Total</t>
  </si>
  <si>
    <t>Sum of Salary</t>
  </si>
  <si>
    <t>Row Labels</t>
  </si>
  <si>
    <t>Date</t>
  </si>
  <si>
    <t>Source</t>
  </si>
  <si>
    <t>Amount</t>
  </si>
  <si>
    <t>Pocket Money</t>
  </si>
  <si>
    <t>Scholarship</t>
  </si>
  <si>
    <t>Part-time Job</t>
  </si>
  <si>
    <t>Parents Money</t>
  </si>
  <si>
    <t>Freelancing</t>
  </si>
  <si>
    <t>TOTAL AMOUNT =</t>
  </si>
  <si>
    <t>INCOME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</si>
</sst>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&quot;₹&quot;\ #,##0.00"/>
    <numFmt numFmtId="165" formatCode="[$-F800]dddd\,\ mmmm\ dd\,\ yyyy"/>
    <numFmt numFmtId="166" formatCode="&quot;₹&quot;\ #,##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 tint="4.9989318521683403E-2"/>
      <name val="Algerian"/>
      <family val="5"/>
    </font>
    <font>
      <sz val="11"/>
      <color theme="1" tint="4.9989318521683403E-2"/>
      <name val="Arial Black"/>
      <family val="2"/>
    </font>
    <font>
      <sz val="24"/>
      <color rgb="FF002060"/>
      <name val="Algerian"/>
      <family val="5"/>
    </font>
    <font>
      <b/>
      <sz val="18"/>
      <color theme="1"/>
      <name val="Algerian"/>
      <family val="5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Algerian"/>
      <family val="5"/>
    </font>
    <font>
      <b/>
      <sz val="36"/>
      <color theme="3" tint="-0.499984740745262"/>
      <name val="Aptos Display"/>
      <family val="2"/>
    </font>
    <font>
      <b/>
      <sz val="20"/>
      <color theme="3" tint="-0.499984740745262"/>
      <name val="Aptos Display"/>
      <family val="2"/>
    </font>
    <font>
      <b/>
      <sz val="24"/>
      <color theme="1"/>
      <name val="Algerian"/>
      <family val="5"/>
    </font>
    <font>
      <b/>
      <sz val="15"/>
      <color theme="3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20"/>
      <color theme="1"/>
      <name val="Algerian"/>
      <family val="5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3" fillId="0" borderId="3" applyNumberFormat="0" applyFill="0" applyAlignment="0" applyProtection="0"/>
  </cellStyleXfs>
  <cellXfs count="48">
    <xf numFmtId="0" fontId="0" fillId="0" borderId="0" xfId="0"/>
    <xf numFmtId="0" fontId="3" fillId="2" borderId="1" xfId="0" applyFont="1" applyFill="1" applyBorder="1"/>
    <xf numFmtId="0" fontId="0" fillId="3" borderId="1" xfId="0" applyFill="1" applyBorder="1"/>
    <xf numFmtId="0" fontId="0" fillId="0" borderId="0" xfId="0" applyAlignment="1">
      <alignment horizontal="left" indent="3"/>
    </xf>
    <xf numFmtId="0" fontId="4" fillId="4" borderId="1" xfId="0" applyFont="1" applyFill="1" applyBorder="1" applyAlignment="1">
      <alignment horizontal="center"/>
    </xf>
    <xf numFmtId="0" fontId="0" fillId="0" borderId="0" xfId="1" applyNumberFormat="1" applyFont="1"/>
    <xf numFmtId="0" fontId="7" fillId="0" borderId="0" xfId="0" applyFont="1"/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 indent="2"/>
    </xf>
    <xf numFmtId="0" fontId="0" fillId="0" borderId="0" xfId="0" applyAlignment="1">
      <alignment horizontal="left" indent="1"/>
    </xf>
    <xf numFmtId="0" fontId="7" fillId="0" borderId="0" xfId="0" applyFont="1" applyAlignment="1">
      <alignment horizontal="left" indent="3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13"/>
    </xf>
    <xf numFmtId="164" fontId="0" fillId="0" borderId="0" xfId="0" applyNumberFormat="1" applyAlignment="1">
      <alignment horizontal="left" indent="1"/>
    </xf>
    <xf numFmtId="164" fontId="0" fillId="0" borderId="0" xfId="0" applyNumberFormat="1"/>
    <xf numFmtId="0" fontId="8" fillId="4" borderId="0" xfId="0" applyFont="1" applyFill="1"/>
    <xf numFmtId="0" fontId="0" fillId="11" borderId="0" xfId="0" applyFill="1"/>
    <xf numFmtId="14" fontId="0" fillId="0" borderId="0" xfId="0" applyNumberFormat="1"/>
    <xf numFmtId="0" fontId="0" fillId="0" borderId="0" xfId="0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 indent="1"/>
    </xf>
    <xf numFmtId="0" fontId="8" fillId="0" borderId="0" xfId="0" applyFont="1" applyAlignment="1">
      <alignment horizontal="left" indent="2"/>
    </xf>
    <xf numFmtId="0" fontId="0" fillId="10" borderId="0" xfId="0" applyFill="1"/>
    <xf numFmtId="0" fontId="0" fillId="10" borderId="0" xfId="0" applyFill="1" applyAlignment="1">
      <alignment horizontal="left"/>
    </xf>
    <xf numFmtId="165" fontId="0" fillId="0" borderId="0" xfId="0" applyNumberFormat="1" applyAlignment="1">
      <alignment horizontal="left" indent="1"/>
    </xf>
    <xf numFmtId="166" fontId="0" fillId="0" borderId="0" xfId="0" applyNumberFormat="1"/>
    <xf numFmtId="0" fontId="14" fillId="0" borderId="0" xfId="0" applyFont="1"/>
    <xf numFmtId="0" fontId="15" fillId="4" borderId="0" xfId="0" applyFont="1" applyFill="1"/>
    <xf numFmtId="0" fontId="0" fillId="13" borderId="0" xfId="0" applyFill="1"/>
    <xf numFmtId="0" fontId="8" fillId="13" borderId="0" xfId="0" applyFont="1" applyFill="1"/>
    <xf numFmtId="166" fontId="0" fillId="13" borderId="0" xfId="0" applyNumberFormat="1" applyFill="1"/>
    <xf numFmtId="0" fontId="15" fillId="4" borderId="0" xfId="0" applyFont="1" applyFill="1" applyAlignment="1">
      <alignment horizontal="center"/>
    </xf>
    <xf numFmtId="0" fontId="13" fillId="0" borderId="3" xfId="2"/>
    <xf numFmtId="165" fontId="0" fillId="14" borderId="0" xfId="0" applyNumberFormat="1" applyFill="1" applyAlignment="1">
      <alignment horizontal="left" indent="1"/>
    </xf>
    <xf numFmtId="0" fontId="0" fillId="14" borderId="0" xfId="0" applyFill="1" applyAlignment="1">
      <alignment horizontal="center"/>
    </xf>
    <xf numFmtId="166" fontId="0" fillId="14" borderId="0" xfId="0" applyNumberFormat="1" applyFill="1"/>
    <xf numFmtId="166" fontId="8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16" fillId="12" borderId="0" xfId="0" applyFont="1" applyFill="1" applyAlignment="1">
      <alignment horizontal="center"/>
    </xf>
    <xf numFmtId="0" fontId="12" fillId="12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11" fillId="10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6" fillId="6" borderId="0" xfId="0" applyFont="1" applyFill="1" applyAlignment="1">
      <alignment horizontal="left" indent="1"/>
    </xf>
    <xf numFmtId="0" fontId="9" fillId="9" borderId="0" xfId="0" applyFont="1" applyFill="1" applyAlignment="1">
      <alignment horizontal="center"/>
    </xf>
  </cellXfs>
  <cellStyles count="3">
    <cellStyle name="Currency" xfId="1" builtinId="4"/>
    <cellStyle name="Heading 1" xfId="2" builtinId="16"/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numFmt numFmtId="19" formatCode="dd/mm/yyyy"/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numFmt numFmtId="166" formatCode="&quot;₹&quot;\ #,##0"/>
    </dxf>
    <dxf>
      <alignment horizontal="center" vertical="bottom" textRotation="0" wrapText="0" indent="0" justifyLastLine="0" shrinkToFit="0" readingOrder="0"/>
    </dxf>
    <dxf>
      <numFmt numFmtId="165" formatCode="[$-F800]dddd\,\ mmmm\ dd\,\ yyyy"/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spanishfootballsports.blogspot.com/2013/06/football-finance-cristiano-ronaldo.html" TargetMode="Externa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hyperlink" Target="https://creativecommons.org/licenses/by-nc-sa/3.0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320308</xdr:colOff>
      <xdr:row>104</xdr:row>
      <xdr:rowOff>124323</xdr:rowOff>
    </xdr:from>
    <xdr:to>
      <xdr:col>17</xdr:col>
      <xdr:colOff>151725</xdr:colOff>
      <xdr:row>117</xdr:row>
      <xdr:rowOff>25287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B0BC11-900A-0E07-05BA-1AEFEDE4F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9499711" y="20877022"/>
          <a:ext cx="2259027" cy="2421296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  <a:softEdge rad="31750"/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oneCellAnchor>
    <xdr:from>
      <xdr:col>20</xdr:col>
      <xdr:colOff>550499</xdr:colOff>
      <xdr:row>143</xdr:row>
      <xdr:rowOff>125310</xdr:rowOff>
    </xdr:from>
    <xdr:ext cx="2554205" cy="1311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BEB14D5-8FEC-A59F-5666-06FEA5477433}"/>
            </a:ext>
          </a:extLst>
        </xdr:cNvPr>
        <xdr:cNvSpPr txBox="1"/>
      </xdr:nvSpPr>
      <xdr:spPr>
        <a:xfrm>
          <a:off x="13978220" y="28439005"/>
          <a:ext cx="2554205" cy="1311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900">
              <a:hlinkClick xmlns:r="http://schemas.openxmlformats.org/officeDocument/2006/relationships" r:id="rId3" tooltip="https://spanishfootballsports.blogspot.com/2013/06/football-finance-cristiano-ronaldo.html"/>
            </a:rPr>
            <a:t>This Photo</a:t>
          </a:r>
          <a:r>
            <a:rPr lang="en-IN" sz="900"/>
            <a:t> by Unknown Author is licensed under </a:t>
          </a:r>
          <a:r>
            <a:rPr lang="en-IN" sz="900">
              <a:hlinkClick xmlns:r="http://schemas.openxmlformats.org/officeDocument/2006/relationships" r:id="rId4" tooltip="https://creativecommons.org/licenses/by-nc-sa/3.0/"/>
            </a:rPr>
            <a:t>CC BY-SA-NC</a:t>
          </a:r>
          <a:endParaRPr lang="en-IN" sz="9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IKA" refreshedDate="46086.555719444441" createdVersion="8" refreshedVersion="8" minRefreshableVersion="3" recordCount="12" xr:uid="{D5487E53-5521-48EC-81C7-08990EFFEBB3}">
  <cacheSource type="worksheet">
    <worksheetSource ref="G106:J118" sheet="Tamanna"/>
  </cacheSource>
  <cacheFields count="4">
    <cacheField name="S.No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Name" numFmtId="0">
      <sharedItems count="8">
        <s v="Neha"/>
        <s v="Karan"/>
        <s v="Mohan"/>
        <s v="Suman"/>
        <s v="Sanjay"/>
        <s v="Radha"/>
        <s v="Pooja"/>
        <s v="Sohan"/>
      </sharedItems>
    </cacheField>
    <cacheField name="ID Number" numFmtId="0">
      <sharedItems count="12">
        <s v="G2A001"/>
        <s v="G2A002"/>
        <s v="G2A003"/>
        <s v="G2A004"/>
        <s v="G2A005"/>
        <s v="G2A006"/>
        <s v="G2A007"/>
        <s v="G2A008"/>
        <s v="G2A009"/>
        <s v="G2A010"/>
        <s v="G2A011"/>
        <s v="G2A012"/>
      </sharedItems>
    </cacheField>
    <cacheField name="Salary" numFmtId="0">
      <sharedItems containsSemiMixedTypes="0" containsString="0" containsNumber="1" containsInteger="1" minValue="3000" maxValue="2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5000"/>
  </r>
  <r>
    <x v="1"/>
    <x v="1"/>
    <x v="1"/>
    <n v="21000"/>
  </r>
  <r>
    <x v="2"/>
    <x v="2"/>
    <x v="2"/>
    <n v="3000"/>
  </r>
  <r>
    <x v="3"/>
    <x v="3"/>
    <x v="3"/>
    <n v="5000"/>
  </r>
  <r>
    <x v="4"/>
    <x v="4"/>
    <x v="4"/>
    <n v="6000"/>
  </r>
  <r>
    <x v="5"/>
    <x v="5"/>
    <x v="5"/>
    <n v="10000"/>
  </r>
  <r>
    <x v="6"/>
    <x v="0"/>
    <x v="6"/>
    <n v="11000"/>
  </r>
  <r>
    <x v="7"/>
    <x v="2"/>
    <x v="7"/>
    <n v="6000"/>
  </r>
  <r>
    <x v="8"/>
    <x v="1"/>
    <x v="8"/>
    <n v="10000"/>
  </r>
  <r>
    <x v="9"/>
    <x v="6"/>
    <x v="9"/>
    <n v="8000"/>
  </r>
  <r>
    <x v="10"/>
    <x v="7"/>
    <x v="10"/>
    <n v="9000"/>
  </r>
  <r>
    <x v="11"/>
    <x v="3"/>
    <x v="11"/>
    <n v="1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CF61B7-743E-4D8F-9E7E-45D6CE0FEAF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4">
    <pivotField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1"/>
        <item x="2"/>
        <item x="0"/>
        <item x="6"/>
        <item x="5"/>
        <item x="4"/>
        <item x="7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ary" fld="3" baseField="0" baseItem="0"/>
  </dataFields>
  <formats count="6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2" type="button" dataOnly="0" labelOnly="1" outline="0" axis="axisRow" fieldPosition="0"/>
    </format>
    <format dxfId="18">
      <pivotArea dataOnly="0" labelOnly="1" fieldPosition="0">
        <references count="1">
          <reference field="2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5F4587-7B9C-433C-99FE-46017D5420D0}" name="Table1" displayName="Table1" ref="I89:J100" totalsRowShown="0">
  <autoFilter ref="I89:J100" xr:uid="{0F5F4587-7B9C-433C-99FE-46017D5420D0}"/>
  <tableColumns count="2">
    <tableColumn id="1" xr3:uid="{1B4E013C-5F7A-40D1-A249-4622FBE6BCAF}" name="Column1"/>
    <tableColumn id="2" xr3:uid="{A62343D7-C59E-44B8-83EA-1F100A4DF063}" name="Column2" dataDxfId="15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642C20-11D9-4897-BEF2-9C52863C9A6F}" name="Table2" displayName="Table2" ref="G106:J119" totalsRowCount="1" headerRowDxfId="14" dataDxfId="13">
  <autoFilter ref="G106:J118" xr:uid="{84642C20-11D9-4897-BEF2-9C52863C9A6F}"/>
  <tableColumns count="4">
    <tableColumn id="1" xr3:uid="{79E07EF7-A90C-40BE-90C8-E5448C903343}" name="S.No" totalsRowLabel="Total" dataDxfId="12" totalsRowDxfId="11"/>
    <tableColumn id="2" xr3:uid="{3EC5C3C0-6EB8-4CC8-9E0A-92D5611DB042}" name="Name" dataDxfId="10" totalsRowDxfId="9"/>
    <tableColumn id="3" xr3:uid="{DB4DCF5D-C4FD-46F7-A9FF-3E8D0B626E9A}" name="ID Number" dataDxfId="8" totalsRowDxfId="7"/>
    <tableColumn id="4" xr3:uid="{0BADAE2A-3A07-4B94-A1F7-55ECEC822DAC}" name="Salary" totalsRowFunction="sum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5BFFEC-3CB1-4126-88CA-972F3011DDE4}" name="Table3" displayName="Table3" ref="E6:G14" totalsRowShown="0" headerRowDxfId="25">
  <autoFilter ref="E6:G14" xr:uid="{325BFFEC-3CB1-4126-88CA-972F3011DDE4}"/>
  <tableColumns count="3">
    <tableColumn id="1" xr3:uid="{4C1E1D51-09BC-430C-AEBF-F2BE76EDBC54}" name="Date" dataDxfId="24"/>
    <tableColumn id="2" xr3:uid="{5AB778EF-1471-4F2A-B630-0FB9CDEF54EB}" name="Source" dataDxfId="23"/>
    <tableColumn id="3" xr3:uid="{B4A2C9E5-3782-4258-B5D0-74D42EB5A7E7}" name="Amount" dataDxfId="2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84C2-7E55-4597-9D77-EB1FFE104657}">
  <sheetPr>
    <tabColor theme="8" tint="-0.499984740745262"/>
  </sheetPr>
  <dimension ref="A2:I16"/>
  <sheetViews>
    <sheetView workbookViewId="0">
      <selection activeCell="G19" sqref="G19"/>
    </sheetView>
  </sheetViews>
  <sheetFormatPr defaultRowHeight="15" x14ac:dyDescent="0.25"/>
  <cols>
    <col min="1" max="1" width="13.140625" bestFit="1" customWidth="1"/>
    <col min="2" max="3" width="12.85546875" bestFit="1" customWidth="1"/>
    <col min="4" max="4" width="11.7109375" bestFit="1" customWidth="1"/>
    <col min="5" max="5" width="12.85546875" bestFit="1" customWidth="1"/>
    <col min="6" max="6" width="11.7109375" bestFit="1" customWidth="1"/>
    <col min="7" max="7" width="12.85546875" bestFit="1" customWidth="1"/>
    <col min="8" max="8" width="11.7109375" bestFit="1" customWidth="1"/>
    <col min="9" max="9" width="12.85546875" bestFit="1" customWidth="1"/>
    <col min="10" max="10" width="11.7109375" bestFit="1" customWidth="1"/>
    <col min="11" max="11" width="12.85546875" bestFit="1" customWidth="1"/>
    <col min="12" max="12" width="11.7109375" bestFit="1" customWidth="1"/>
    <col min="13" max="13" width="12.85546875" bestFit="1" customWidth="1"/>
    <col min="14" max="14" width="11.7109375" bestFit="1" customWidth="1"/>
    <col min="15" max="15" width="12.85546875" bestFit="1" customWidth="1"/>
    <col min="16" max="16" width="11.7109375" bestFit="1" customWidth="1"/>
    <col min="17" max="17" width="12.85546875" bestFit="1" customWidth="1"/>
    <col min="18" max="18" width="11.7109375" bestFit="1" customWidth="1"/>
    <col min="19" max="19" width="12.85546875" bestFit="1" customWidth="1"/>
    <col min="20" max="20" width="11.7109375" bestFit="1" customWidth="1"/>
    <col min="21" max="21" width="12.85546875" bestFit="1" customWidth="1"/>
    <col min="22" max="22" width="11.7109375" bestFit="1" customWidth="1"/>
    <col min="23" max="23" width="12.85546875" bestFit="1" customWidth="1"/>
    <col min="24" max="24" width="11.7109375" bestFit="1" customWidth="1"/>
    <col min="25" max="25" width="12.85546875" bestFit="1" customWidth="1"/>
    <col min="26" max="26" width="16.7109375" bestFit="1" customWidth="1"/>
    <col min="27" max="27" width="18" bestFit="1" customWidth="1"/>
    <col min="28" max="28" width="12.85546875" bestFit="1" customWidth="1"/>
    <col min="29" max="29" width="18.140625" bestFit="1" customWidth="1"/>
    <col min="30" max="30" width="19.28515625" bestFit="1" customWidth="1"/>
    <col min="31" max="32" width="12.85546875" bestFit="1" customWidth="1"/>
    <col min="33" max="33" width="17.85546875" bestFit="1" customWidth="1"/>
    <col min="34" max="34" width="19" bestFit="1" customWidth="1"/>
    <col min="35" max="38" width="12.85546875" bestFit="1" customWidth="1"/>
    <col min="39" max="39" width="18.42578125" bestFit="1" customWidth="1"/>
    <col min="40" max="40" width="19.5703125" bestFit="1" customWidth="1"/>
    <col min="41" max="41" width="16.7109375" bestFit="1" customWidth="1"/>
    <col min="42" max="42" width="18" bestFit="1" customWidth="1"/>
  </cols>
  <sheetData>
    <row r="2" spans="1:9" ht="15" customHeight="1" x14ac:dyDescent="0.25">
      <c r="F2" s="18"/>
      <c r="G2" s="18"/>
      <c r="H2" s="18"/>
      <c r="I2" s="18"/>
    </row>
    <row r="3" spans="1:9" x14ac:dyDescent="0.25">
      <c r="A3" s="22" t="s">
        <v>100</v>
      </c>
      <c r="B3" s="22" t="s">
        <v>99</v>
      </c>
      <c r="F3" s="18"/>
      <c r="G3" s="18"/>
      <c r="H3" s="18"/>
      <c r="I3" s="18"/>
    </row>
    <row r="4" spans="1:9" x14ac:dyDescent="0.25">
      <c r="A4" s="23" t="s">
        <v>48</v>
      </c>
      <c r="B4" s="22">
        <v>5000</v>
      </c>
      <c r="F4" s="18"/>
      <c r="G4" s="18"/>
      <c r="H4" s="18"/>
      <c r="I4" s="18"/>
    </row>
    <row r="5" spans="1:9" x14ac:dyDescent="0.25">
      <c r="A5" s="23" t="s">
        <v>49</v>
      </c>
      <c r="B5" s="22">
        <v>21000</v>
      </c>
      <c r="F5" s="18"/>
      <c r="G5" s="18"/>
      <c r="H5" s="18"/>
      <c r="I5" s="18"/>
    </row>
    <row r="6" spans="1:9" x14ac:dyDescent="0.25">
      <c r="A6" s="23" t="s">
        <v>50</v>
      </c>
      <c r="B6" s="22">
        <v>3000</v>
      </c>
    </row>
    <row r="7" spans="1:9" x14ac:dyDescent="0.25">
      <c r="A7" s="23" t="s">
        <v>51</v>
      </c>
      <c r="B7" s="22">
        <v>5000</v>
      </c>
    </row>
    <row r="8" spans="1:9" x14ac:dyDescent="0.25">
      <c r="A8" s="23" t="s">
        <v>52</v>
      </c>
      <c r="B8" s="22">
        <v>6000</v>
      </c>
    </row>
    <row r="9" spans="1:9" x14ac:dyDescent="0.25">
      <c r="A9" s="23" t="s">
        <v>53</v>
      </c>
      <c r="B9" s="22">
        <v>10000</v>
      </c>
    </row>
    <row r="10" spans="1:9" x14ac:dyDescent="0.25">
      <c r="A10" s="23" t="s">
        <v>54</v>
      </c>
      <c r="B10" s="22">
        <v>11000</v>
      </c>
      <c r="E10" s="19"/>
    </row>
    <row r="11" spans="1:9" x14ac:dyDescent="0.25">
      <c r="A11" s="23" t="s">
        <v>55</v>
      </c>
      <c r="B11" s="22">
        <v>6000</v>
      </c>
    </row>
    <row r="12" spans="1:9" x14ac:dyDescent="0.25">
      <c r="A12" s="23" t="s">
        <v>56</v>
      </c>
      <c r="B12" s="22">
        <v>10000</v>
      </c>
    </row>
    <row r="13" spans="1:9" x14ac:dyDescent="0.25">
      <c r="A13" s="23" t="s">
        <v>95</v>
      </c>
      <c r="B13" s="22">
        <v>8000</v>
      </c>
    </row>
    <row r="14" spans="1:9" x14ac:dyDescent="0.25">
      <c r="A14" s="23" t="s">
        <v>96</v>
      </c>
      <c r="B14" s="22">
        <v>9000</v>
      </c>
    </row>
    <row r="15" spans="1:9" x14ac:dyDescent="0.25">
      <c r="A15" s="23" t="s">
        <v>97</v>
      </c>
      <c r="B15" s="22">
        <v>14000</v>
      </c>
    </row>
    <row r="16" spans="1:9" x14ac:dyDescent="0.25">
      <c r="A16" s="23" t="s">
        <v>98</v>
      </c>
      <c r="B16" s="22">
        <v>108000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9"/>
  <sheetViews>
    <sheetView topLeftCell="D136" zoomScale="113" zoomScaleNormal="113" workbookViewId="0">
      <selection activeCell="G128" sqref="G128"/>
    </sheetView>
  </sheetViews>
  <sheetFormatPr defaultRowHeight="15" x14ac:dyDescent="0.25"/>
  <cols>
    <col min="1" max="1" width="11.5703125" customWidth="1"/>
    <col min="2" max="2" width="10.28515625" customWidth="1"/>
    <col min="3" max="3" width="15.42578125" customWidth="1"/>
    <col min="4" max="4" width="11.85546875" customWidth="1"/>
    <col min="5" max="5" width="13.42578125" customWidth="1"/>
    <col min="6" max="6" width="9.7109375" customWidth="1"/>
    <col min="7" max="7" width="9.85546875" bestFit="1" customWidth="1"/>
    <col min="8" max="8" width="10.7109375" customWidth="1"/>
    <col min="9" max="9" width="12.5703125" customWidth="1"/>
    <col min="10" max="10" width="11.5703125" bestFit="1" customWidth="1"/>
    <col min="11" max="11" width="11.42578125" bestFit="1" customWidth="1"/>
    <col min="12" max="12" width="10.7109375" customWidth="1"/>
  </cols>
  <sheetData>
    <row r="1" spans="1:11" ht="18.75" x14ac:dyDescent="0.4">
      <c r="A1">
        <v>1</v>
      </c>
      <c r="B1" t="s">
        <v>1</v>
      </c>
      <c r="C1" t="s">
        <v>7</v>
      </c>
      <c r="E1" s="4" t="s">
        <v>20</v>
      </c>
      <c r="F1">
        <v>2</v>
      </c>
    </row>
    <row r="2" spans="1:11" ht="18.75" x14ac:dyDescent="0.4">
      <c r="A2">
        <v>2</v>
      </c>
      <c r="B2" t="s">
        <v>0</v>
      </c>
      <c r="C2" t="s">
        <v>8</v>
      </c>
      <c r="E2" s="4" t="s">
        <v>21</v>
      </c>
      <c r="F2">
        <v>4</v>
      </c>
    </row>
    <row r="3" spans="1:11" ht="18" customHeight="1" x14ac:dyDescent="0.4">
      <c r="A3">
        <v>3</v>
      </c>
      <c r="B3" t="s">
        <v>2</v>
      </c>
      <c r="C3" t="s">
        <v>9</v>
      </c>
      <c r="E3" s="4" t="s">
        <v>22</v>
      </c>
      <c r="F3">
        <v>6</v>
      </c>
      <c r="H3" s="3"/>
    </row>
    <row r="4" spans="1:11" ht="18.75" x14ac:dyDescent="0.4">
      <c r="A4">
        <v>4</v>
      </c>
      <c r="B4" t="s">
        <v>3</v>
      </c>
      <c r="C4" t="s">
        <v>10</v>
      </c>
      <c r="E4" s="4" t="s">
        <v>23</v>
      </c>
      <c r="F4">
        <v>8</v>
      </c>
    </row>
    <row r="5" spans="1:11" ht="18.75" x14ac:dyDescent="0.4">
      <c r="A5">
        <v>5</v>
      </c>
      <c r="B5" t="s">
        <v>4</v>
      </c>
      <c r="C5" t="s">
        <v>11</v>
      </c>
      <c r="E5" s="4" t="s">
        <v>24</v>
      </c>
      <c r="F5">
        <v>10</v>
      </c>
      <c r="H5" t="s">
        <v>17</v>
      </c>
      <c r="K5" t="s">
        <v>17</v>
      </c>
    </row>
    <row r="6" spans="1:11" ht="18.75" x14ac:dyDescent="0.4">
      <c r="A6">
        <v>6</v>
      </c>
      <c r="B6" t="s">
        <v>5</v>
      </c>
      <c r="C6" t="s">
        <v>12</v>
      </c>
      <c r="E6" s="4" t="s">
        <v>25</v>
      </c>
      <c r="F6">
        <v>12</v>
      </c>
      <c r="H6" t="s">
        <v>18</v>
      </c>
      <c r="K6" t="s">
        <v>18</v>
      </c>
    </row>
    <row r="7" spans="1:11" ht="18.75" x14ac:dyDescent="0.4">
      <c r="A7">
        <v>7</v>
      </c>
      <c r="B7" t="s">
        <v>6</v>
      </c>
      <c r="C7" t="s">
        <v>13</v>
      </c>
      <c r="E7" s="4" t="s">
        <v>26</v>
      </c>
      <c r="F7">
        <v>14</v>
      </c>
      <c r="H7" t="s">
        <v>30</v>
      </c>
      <c r="K7" t="s">
        <v>30</v>
      </c>
    </row>
    <row r="8" spans="1:11" ht="18.75" x14ac:dyDescent="0.4">
      <c r="A8">
        <v>8</v>
      </c>
      <c r="C8" t="s">
        <v>14</v>
      </c>
      <c r="E8" s="4" t="s">
        <v>27</v>
      </c>
      <c r="F8">
        <v>16</v>
      </c>
      <c r="H8" t="s">
        <v>31</v>
      </c>
      <c r="K8" t="s">
        <v>31</v>
      </c>
    </row>
    <row r="9" spans="1:11" ht="18.75" x14ac:dyDescent="0.4">
      <c r="A9">
        <v>9</v>
      </c>
      <c r="C9" t="s">
        <v>15</v>
      </c>
      <c r="E9" s="4" t="s">
        <v>28</v>
      </c>
      <c r="F9">
        <v>18</v>
      </c>
      <c r="H9" t="s">
        <v>32</v>
      </c>
      <c r="K9" t="s">
        <v>32</v>
      </c>
    </row>
    <row r="10" spans="1:11" ht="18.75" x14ac:dyDescent="0.4">
      <c r="A10">
        <v>10</v>
      </c>
      <c r="C10" t="s">
        <v>16</v>
      </c>
      <c r="E10" s="4" t="s">
        <v>29</v>
      </c>
      <c r="F10">
        <v>20</v>
      </c>
      <c r="H10" t="s">
        <v>19</v>
      </c>
      <c r="K10" t="s">
        <v>19</v>
      </c>
    </row>
    <row r="11" spans="1:11" x14ac:dyDescent="0.25">
      <c r="H11" t="s">
        <v>33</v>
      </c>
      <c r="K11" t="s">
        <v>33</v>
      </c>
    </row>
    <row r="12" spans="1:11" x14ac:dyDescent="0.25">
      <c r="H12" t="s">
        <v>17</v>
      </c>
      <c r="K12" t="s">
        <v>17</v>
      </c>
    </row>
    <row r="13" spans="1:11" ht="15.75" x14ac:dyDescent="0.25">
      <c r="C13" s="1" t="s">
        <v>17</v>
      </c>
      <c r="H13" t="s">
        <v>18</v>
      </c>
      <c r="K13" t="s">
        <v>18</v>
      </c>
    </row>
    <row r="14" spans="1:11" ht="15.75" x14ac:dyDescent="0.25">
      <c r="C14" s="1" t="s">
        <v>18</v>
      </c>
      <c r="H14" t="s">
        <v>30</v>
      </c>
      <c r="K14" t="s">
        <v>30</v>
      </c>
    </row>
    <row r="15" spans="1:11" ht="15.75" x14ac:dyDescent="0.25">
      <c r="C15" s="1" t="s">
        <v>30</v>
      </c>
      <c r="D15" s="2"/>
    </row>
    <row r="16" spans="1:11" ht="15.75" x14ac:dyDescent="0.25">
      <c r="C16" s="1" t="s">
        <v>31</v>
      </c>
    </row>
    <row r="17" spans="3:7" ht="15.75" x14ac:dyDescent="0.25">
      <c r="C17" s="1" t="s">
        <v>32</v>
      </c>
    </row>
    <row r="18" spans="3:7" ht="15.75" x14ac:dyDescent="0.25">
      <c r="C18" s="1" t="s">
        <v>19</v>
      </c>
    </row>
    <row r="19" spans="3:7" ht="15.75" x14ac:dyDescent="0.25">
      <c r="C19" s="1" t="s">
        <v>33</v>
      </c>
    </row>
    <row r="20" spans="3:7" ht="15.75" x14ac:dyDescent="0.25">
      <c r="C20" s="1" t="s">
        <v>17</v>
      </c>
      <c r="E20" s="5"/>
    </row>
    <row r="21" spans="3:7" ht="15.75" x14ac:dyDescent="0.25">
      <c r="C21" s="1" t="s">
        <v>18</v>
      </c>
    </row>
    <row r="22" spans="3:7" ht="15.75" x14ac:dyDescent="0.25">
      <c r="C22" s="1" t="s">
        <v>30</v>
      </c>
    </row>
    <row r="26" spans="3:7" ht="15" customHeight="1" x14ac:dyDescent="0.25">
      <c r="E26" s="44" t="s">
        <v>34</v>
      </c>
      <c r="F26" s="44"/>
      <c r="G26" s="44"/>
    </row>
    <row r="27" spans="3:7" ht="15" customHeight="1" x14ac:dyDescent="0.25">
      <c r="E27" s="44"/>
      <c r="F27" s="44"/>
      <c r="G27" s="44"/>
    </row>
    <row r="28" spans="3:7" ht="15" customHeight="1" x14ac:dyDescent="0.25">
      <c r="E28" s="44"/>
      <c r="F28" s="44"/>
      <c r="G28" s="44"/>
    </row>
    <row r="29" spans="3:7" ht="15" customHeight="1" x14ac:dyDescent="0.25">
      <c r="E29" s="44"/>
      <c r="F29" s="44"/>
      <c r="G29" s="44"/>
    </row>
    <row r="30" spans="3:7" ht="15.75" customHeight="1" thickBot="1" x14ac:dyDescent="0.3">
      <c r="E30" s="45"/>
      <c r="F30" s="45"/>
      <c r="G30" s="45"/>
    </row>
    <row r="34" spans="5:8" x14ac:dyDescent="0.25">
      <c r="E34" s="9"/>
      <c r="F34" s="9"/>
      <c r="G34" s="9"/>
      <c r="H34" s="9"/>
    </row>
    <row r="35" spans="5:8" ht="15" customHeight="1" x14ac:dyDescent="0.25">
      <c r="E35" s="46" t="s">
        <v>35</v>
      </c>
      <c r="F35" s="46"/>
      <c r="G35" s="46"/>
      <c r="H35" s="46"/>
    </row>
    <row r="36" spans="5:8" ht="15" customHeight="1" x14ac:dyDescent="0.25">
      <c r="E36" s="46"/>
      <c r="F36" s="46"/>
      <c r="G36" s="46"/>
      <c r="H36" s="46"/>
    </row>
    <row r="37" spans="5:8" ht="18.75" x14ac:dyDescent="0.3">
      <c r="E37" s="10" t="s">
        <v>36</v>
      </c>
      <c r="F37" s="8" t="s">
        <v>37</v>
      </c>
      <c r="G37" s="7" t="s">
        <v>38</v>
      </c>
      <c r="H37" s="10" t="s">
        <v>39</v>
      </c>
    </row>
    <row r="38" spans="5:8" x14ac:dyDescent="0.25">
      <c r="E38" s="11">
        <v>1</v>
      </c>
      <c r="F38" s="9" t="s">
        <v>41</v>
      </c>
      <c r="G38" s="9" t="s">
        <v>48</v>
      </c>
      <c r="H38" s="13">
        <v>9000</v>
      </c>
    </row>
    <row r="39" spans="5:8" x14ac:dyDescent="0.25">
      <c r="E39" s="11">
        <v>2</v>
      </c>
      <c r="F39" s="9" t="s">
        <v>40</v>
      </c>
      <c r="G39" s="9" t="s">
        <v>49</v>
      </c>
      <c r="H39" s="13">
        <v>40000</v>
      </c>
    </row>
    <row r="40" spans="5:8" x14ac:dyDescent="0.25">
      <c r="E40" s="11">
        <v>3</v>
      </c>
      <c r="F40" s="9" t="s">
        <v>42</v>
      </c>
      <c r="G40" s="9" t="s">
        <v>50</v>
      </c>
      <c r="H40" s="13">
        <v>90000</v>
      </c>
    </row>
    <row r="41" spans="5:8" x14ac:dyDescent="0.25">
      <c r="E41" s="11">
        <v>4</v>
      </c>
      <c r="F41" s="9" t="s">
        <v>43</v>
      </c>
      <c r="G41" s="9" t="s">
        <v>51</v>
      </c>
      <c r="H41" s="13">
        <v>8000</v>
      </c>
    </row>
    <row r="42" spans="5:8" x14ac:dyDescent="0.25">
      <c r="E42" s="11">
        <v>5</v>
      </c>
      <c r="F42" s="9" t="s">
        <v>44</v>
      </c>
      <c r="G42" s="9" t="s">
        <v>52</v>
      </c>
      <c r="H42" s="14">
        <v>200</v>
      </c>
    </row>
    <row r="43" spans="5:8" x14ac:dyDescent="0.25">
      <c r="E43" s="11">
        <v>6</v>
      </c>
      <c r="F43" s="9" t="s">
        <v>42</v>
      </c>
      <c r="G43" s="9" t="s">
        <v>53</v>
      </c>
      <c r="H43" s="14">
        <v>600</v>
      </c>
    </row>
    <row r="44" spans="5:8" x14ac:dyDescent="0.25">
      <c r="E44" s="11">
        <v>7</v>
      </c>
      <c r="F44" s="9" t="s">
        <v>45</v>
      </c>
      <c r="G44" s="9" t="s">
        <v>54</v>
      </c>
      <c r="H44" s="14">
        <v>10000</v>
      </c>
    </row>
    <row r="45" spans="5:8" x14ac:dyDescent="0.25">
      <c r="E45" s="11">
        <v>8</v>
      </c>
      <c r="F45" s="9" t="s">
        <v>46</v>
      </c>
      <c r="G45" s="9" t="s">
        <v>55</v>
      </c>
      <c r="H45" s="14">
        <v>8700</v>
      </c>
    </row>
    <row r="46" spans="5:8" x14ac:dyDescent="0.25">
      <c r="E46" s="11">
        <v>9</v>
      </c>
      <c r="F46" s="9" t="s">
        <v>47</v>
      </c>
      <c r="G46" s="9" t="s">
        <v>56</v>
      </c>
      <c r="H46" s="14">
        <v>1000</v>
      </c>
    </row>
    <row r="47" spans="5:8" x14ac:dyDescent="0.25">
      <c r="E47" s="12"/>
    </row>
    <row r="49" spans="5:12" x14ac:dyDescent="0.25">
      <c r="F49" s="42" t="s">
        <v>57</v>
      </c>
      <c r="G49" s="42"/>
      <c r="H49" s="42"/>
      <c r="I49" s="42"/>
    </row>
    <row r="50" spans="5:12" x14ac:dyDescent="0.25">
      <c r="E50" s="12"/>
      <c r="F50" s="42"/>
      <c r="G50" s="42"/>
      <c r="H50" s="42"/>
      <c r="I50" s="42"/>
    </row>
    <row r="51" spans="5:12" x14ac:dyDescent="0.25">
      <c r="F51" s="43" t="s">
        <v>58</v>
      </c>
      <c r="G51" s="43"/>
      <c r="H51" s="43"/>
      <c r="I51" s="43"/>
    </row>
    <row r="52" spans="5:12" x14ac:dyDescent="0.25">
      <c r="F52" s="43"/>
      <c r="G52" s="43"/>
      <c r="H52" s="43"/>
      <c r="I52" s="43"/>
    </row>
    <row r="53" spans="5:12" ht="18.75" x14ac:dyDescent="0.3">
      <c r="F53" s="6" t="s">
        <v>37</v>
      </c>
      <c r="G53" s="6" t="s">
        <v>20</v>
      </c>
      <c r="H53" s="6" t="s">
        <v>21</v>
      </c>
      <c r="I53" s="6" t="s">
        <v>22</v>
      </c>
    </row>
    <row r="54" spans="5:12" x14ac:dyDescent="0.25">
      <c r="F54" t="s">
        <v>59</v>
      </c>
      <c r="G54" s="9">
        <v>150000</v>
      </c>
      <c r="H54" s="9">
        <v>222000</v>
      </c>
      <c r="I54" s="9">
        <v>20000</v>
      </c>
    </row>
    <row r="55" spans="5:12" x14ac:dyDescent="0.25">
      <c r="F55" t="s">
        <v>60</v>
      </c>
      <c r="G55" s="9">
        <v>200000</v>
      </c>
      <c r="H55" s="9">
        <v>120000</v>
      </c>
      <c r="I55" s="9">
        <v>450000</v>
      </c>
    </row>
    <row r="56" spans="5:12" x14ac:dyDescent="0.25">
      <c r="F56" t="s">
        <v>61</v>
      </c>
      <c r="G56" s="9">
        <v>100000</v>
      </c>
      <c r="H56" s="9">
        <v>138000</v>
      </c>
      <c r="I56" s="9"/>
      <c r="J56" s="9"/>
    </row>
    <row r="57" spans="5:12" x14ac:dyDescent="0.25">
      <c r="F57" t="s">
        <v>62</v>
      </c>
      <c r="G57" s="9">
        <v>10000</v>
      </c>
      <c r="H57" s="9">
        <v>5600</v>
      </c>
      <c r="I57" s="9">
        <v>78000</v>
      </c>
    </row>
    <row r="58" spans="5:12" x14ac:dyDescent="0.25">
      <c r="F58" t="s">
        <v>63</v>
      </c>
      <c r="G58" s="9">
        <v>20000</v>
      </c>
      <c r="H58" s="9">
        <v>34000</v>
      </c>
      <c r="I58" s="9">
        <v>80000</v>
      </c>
      <c r="L58">
        <f>AVERAGE(H54:J64)</f>
        <v>154372.52380952382</v>
      </c>
    </row>
    <row r="59" spans="5:12" x14ac:dyDescent="0.25">
      <c r="F59" t="s">
        <v>64</v>
      </c>
      <c r="G59" s="9">
        <v>50000</v>
      </c>
      <c r="H59" s="9">
        <v>45000</v>
      </c>
      <c r="I59" s="9">
        <v>345000</v>
      </c>
    </row>
    <row r="60" spans="5:12" x14ac:dyDescent="0.25">
      <c r="F60" t="s">
        <v>65</v>
      </c>
      <c r="G60" s="9">
        <v>70000</v>
      </c>
      <c r="H60" s="9">
        <v>65000</v>
      </c>
      <c r="I60" s="9">
        <v>12000</v>
      </c>
    </row>
    <row r="61" spans="5:12" x14ac:dyDescent="0.25">
      <c r="F61" t="s">
        <v>43</v>
      </c>
      <c r="G61" s="9">
        <v>14000</v>
      </c>
      <c r="H61" s="9">
        <v>320000</v>
      </c>
      <c r="I61" s="9">
        <v>207654</v>
      </c>
    </row>
    <row r="62" spans="5:12" x14ac:dyDescent="0.25">
      <c r="F62" t="s">
        <v>66</v>
      </c>
      <c r="G62" s="9">
        <v>10000</v>
      </c>
      <c r="H62" s="9">
        <v>8700</v>
      </c>
      <c r="I62" s="9">
        <v>908777</v>
      </c>
    </row>
    <row r="63" spans="5:12" x14ac:dyDescent="0.25">
      <c r="F63" t="s">
        <v>67</v>
      </c>
      <c r="G63" s="9">
        <v>47000</v>
      </c>
      <c r="H63" s="9">
        <v>23000</v>
      </c>
      <c r="I63" s="9">
        <v>76543</v>
      </c>
    </row>
    <row r="64" spans="5:12" x14ac:dyDescent="0.25">
      <c r="F64" t="s">
        <v>68</v>
      </c>
      <c r="G64" s="9">
        <v>45000</v>
      </c>
      <c r="H64" s="9">
        <v>15000</v>
      </c>
      <c r="I64" s="9">
        <v>67549</v>
      </c>
    </row>
    <row r="65" spans="6:13" x14ac:dyDescent="0.25">
      <c r="I65" s="9">
        <v>50000</v>
      </c>
    </row>
    <row r="67" spans="6:13" x14ac:dyDescent="0.25">
      <c r="F67" s="47" t="s">
        <v>69</v>
      </c>
      <c r="G67" s="47"/>
      <c r="H67" s="47"/>
    </row>
    <row r="68" spans="6:13" x14ac:dyDescent="0.25">
      <c r="F68" s="47"/>
      <c r="G68" s="47"/>
      <c r="H68" s="47"/>
    </row>
    <row r="70" spans="6:13" x14ac:dyDescent="0.25">
      <c r="F70" s="40" t="s">
        <v>70</v>
      </c>
      <c r="G70" s="41"/>
      <c r="H70" s="41"/>
      <c r="I70" s="41"/>
    </row>
    <row r="71" spans="6:13" x14ac:dyDescent="0.25">
      <c r="F71" s="41"/>
      <c r="G71" s="41"/>
      <c r="H71" s="41"/>
      <c r="I71" s="41"/>
    </row>
    <row r="72" spans="6:13" x14ac:dyDescent="0.25">
      <c r="F72" s="41"/>
      <c r="G72" s="41"/>
      <c r="H72" s="41"/>
      <c r="I72" s="41"/>
    </row>
    <row r="73" spans="6:13" x14ac:dyDescent="0.25">
      <c r="F73" s="15" t="s">
        <v>36</v>
      </c>
      <c r="G73" s="15" t="s">
        <v>37</v>
      </c>
      <c r="H73" s="15" t="s">
        <v>71</v>
      </c>
      <c r="I73" s="15" t="s">
        <v>72</v>
      </c>
      <c r="J73" s="15" t="s">
        <v>73</v>
      </c>
      <c r="K73" s="15" t="s">
        <v>74</v>
      </c>
      <c r="L73" s="15" t="s">
        <v>75</v>
      </c>
      <c r="M73" s="15" t="s">
        <v>86</v>
      </c>
    </row>
    <row r="74" spans="6:13" x14ac:dyDescent="0.25">
      <c r="F74" s="9">
        <v>1</v>
      </c>
      <c r="G74" s="16" t="s">
        <v>76</v>
      </c>
      <c r="H74">
        <v>80</v>
      </c>
      <c r="I74">
        <v>86</v>
      </c>
      <c r="J74">
        <v>69</v>
      </c>
      <c r="K74">
        <v>86</v>
      </c>
      <c r="L74">
        <v>68</v>
      </c>
      <c r="M74" s="16">
        <f t="shared" ref="M74:M80" si="0">SUM(H74:L74)</f>
        <v>389</v>
      </c>
    </row>
    <row r="75" spans="6:13" x14ac:dyDescent="0.25">
      <c r="F75" s="9">
        <v>2</v>
      </c>
      <c r="G75" s="16" t="s">
        <v>77</v>
      </c>
      <c r="H75">
        <v>68</v>
      </c>
      <c r="I75">
        <v>68</v>
      </c>
      <c r="J75">
        <v>86</v>
      </c>
      <c r="K75">
        <v>56</v>
      </c>
      <c r="L75">
        <v>55</v>
      </c>
      <c r="M75" s="16">
        <f t="shared" si="0"/>
        <v>333</v>
      </c>
    </row>
    <row r="76" spans="6:13" x14ac:dyDescent="0.25">
      <c r="F76" s="9">
        <v>3</v>
      </c>
      <c r="G76" s="16" t="s">
        <v>78</v>
      </c>
      <c r="H76">
        <v>96</v>
      </c>
      <c r="I76">
        <v>75</v>
      </c>
      <c r="J76">
        <v>56</v>
      </c>
      <c r="K76">
        <v>86</v>
      </c>
      <c r="L76">
        <v>76</v>
      </c>
      <c r="M76" s="16">
        <f t="shared" si="0"/>
        <v>389</v>
      </c>
    </row>
    <row r="77" spans="6:13" x14ac:dyDescent="0.25">
      <c r="F77" s="9">
        <v>4</v>
      </c>
      <c r="G77" s="16" t="s">
        <v>79</v>
      </c>
      <c r="H77">
        <v>54</v>
      </c>
      <c r="I77">
        <v>67</v>
      </c>
      <c r="J77">
        <v>59</v>
      </c>
      <c r="K77">
        <v>95</v>
      </c>
      <c r="L77">
        <v>66</v>
      </c>
      <c r="M77" s="16">
        <f t="shared" si="0"/>
        <v>341</v>
      </c>
    </row>
    <row r="78" spans="6:13" x14ac:dyDescent="0.25">
      <c r="F78" s="9">
        <v>5</v>
      </c>
      <c r="G78" s="16" t="s">
        <v>80</v>
      </c>
      <c r="H78">
        <v>67</v>
      </c>
      <c r="I78">
        <v>84</v>
      </c>
      <c r="J78">
        <v>76</v>
      </c>
      <c r="K78">
        <v>75</v>
      </c>
      <c r="L78">
        <v>88</v>
      </c>
      <c r="M78" s="16">
        <f t="shared" si="0"/>
        <v>390</v>
      </c>
    </row>
    <row r="79" spans="6:13" x14ac:dyDescent="0.25">
      <c r="F79" s="9">
        <v>6</v>
      </c>
      <c r="G79" s="16" t="s">
        <v>81</v>
      </c>
      <c r="H79">
        <v>76</v>
      </c>
      <c r="I79">
        <v>81</v>
      </c>
      <c r="J79">
        <v>95</v>
      </c>
      <c r="K79">
        <v>64</v>
      </c>
      <c r="L79">
        <v>79</v>
      </c>
      <c r="M79" s="16">
        <f t="shared" si="0"/>
        <v>395</v>
      </c>
    </row>
    <row r="80" spans="6:13" x14ac:dyDescent="0.25">
      <c r="F80" s="9">
        <v>7</v>
      </c>
      <c r="G80" s="16" t="s">
        <v>82</v>
      </c>
      <c r="H80">
        <v>96</v>
      </c>
      <c r="I80">
        <v>92</v>
      </c>
      <c r="J80">
        <v>56</v>
      </c>
      <c r="K80">
        <v>68</v>
      </c>
      <c r="L80">
        <v>97</v>
      </c>
      <c r="M80" s="16">
        <f t="shared" si="0"/>
        <v>409</v>
      </c>
    </row>
    <row r="81" spans="6:13" x14ac:dyDescent="0.25">
      <c r="F81" s="9">
        <v>8</v>
      </c>
      <c r="G81" s="16" t="s">
        <v>83</v>
      </c>
      <c r="H81">
        <v>69</v>
      </c>
      <c r="I81">
        <v>82</v>
      </c>
      <c r="J81">
        <v>95</v>
      </c>
      <c r="K81">
        <v>75</v>
      </c>
      <c r="L81">
        <v>58</v>
      </c>
      <c r="M81" s="16">
        <f t="shared" ref="M81:M83" si="1">SUM(H81:L81)</f>
        <v>379</v>
      </c>
    </row>
    <row r="82" spans="6:13" x14ac:dyDescent="0.25">
      <c r="F82" s="9">
        <v>9</v>
      </c>
      <c r="G82" s="16" t="s">
        <v>84</v>
      </c>
      <c r="H82">
        <v>86</v>
      </c>
      <c r="I82">
        <v>73</v>
      </c>
      <c r="J82">
        <v>56</v>
      </c>
      <c r="K82">
        <v>65</v>
      </c>
      <c r="L82">
        <v>87</v>
      </c>
      <c r="M82" s="16">
        <f t="shared" si="1"/>
        <v>367</v>
      </c>
    </row>
    <row r="83" spans="6:13" x14ac:dyDescent="0.25">
      <c r="F83" s="9">
        <v>10</v>
      </c>
      <c r="G83" s="16" t="s">
        <v>85</v>
      </c>
      <c r="H83">
        <v>68</v>
      </c>
      <c r="I83">
        <v>75</v>
      </c>
      <c r="J83">
        <v>89</v>
      </c>
      <c r="K83">
        <v>86</v>
      </c>
      <c r="L83">
        <v>78</v>
      </c>
      <c r="M83" s="16">
        <f t="shared" si="1"/>
        <v>396</v>
      </c>
    </row>
    <row r="84" spans="6:13" x14ac:dyDescent="0.25">
      <c r="F84" s="9"/>
    </row>
    <row r="89" spans="6:13" x14ac:dyDescent="0.25">
      <c r="I89" t="s">
        <v>87</v>
      </c>
      <c r="J89" s="17" t="s">
        <v>88</v>
      </c>
    </row>
    <row r="90" spans="6:13" x14ac:dyDescent="0.25">
      <c r="I90">
        <v>1</v>
      </c>
      <c r="J90" s="17">
        <v>46082</v>
      </c>
    </row>
    <row r="91" spans="6:13" x14ac:dyDescent="0.25">
      <c r="I91">
        <v>2</v>
      </c>
      <c r="J91" s="17">
        <v>46083</v>
      </c>
    </row>
    <row r="92" spans="6:13" x14ac:dyDescent="0.25">
      <c r="I92">
        <v>3</v>
      </c>
      <c r="J92" s="17">
        <v>46084</v>
      </c>
    </row>
    <row r="93" spans="6:13" x14ac:dyDescent="0.25">
      <c r="I93">
        <v>4</v>
      </c>
      <c r="J93" s="17">
        <v>46085</v>
      </c>
    </row>
    <row r="94" spans="6:13" x14ac:dyDescent="0.25">
      <c r="I94">
        <v>5</v>
      </c>
      <c r="J94" s="17">
        <v>46086</v>
      </c>
    </row>
    <row r="95" spans="6:13" x14ac:dyDescent="0.25">
      <c r="I95">
        <v>6</v>
      </c>
      <c r="J95" s="17">
        <v>46087</v>
      </c>
    </row>
    <row r="96" spans="6:13" x14ac:dyDescent="0.25">
      <c r="I96">
        <v>7</v>
      </c>
      <c r="J96" s="17">
        <v>46088</v>
      </c>
    </row>
    <row r="97" spans="7:11" x14ac:dyDescent="0.25">
      <c r="I97">
        <v>8</v>
      </c>
      <c r="J97" s="17">
        <v>46089</v>
      </c>
    </row>
    <row r="98" spans="7:11" x14ac:dyDescent="0.25">
      <c r="I98">
        <v>9</v>
      </c>
      <c r="J98" s="17">
        <v>46090</v>
      </c>
    </row>
    <row r="99" spans="7:11" x14ac:dyDescent="0.25">
      <c r="I99">
        <v>10</v>
      </c>
      <c r="J99" s="17">
        <v>46091</v>
      </c>
    </row>
    <row r="100" spans="7:11" x14ac:dyDescent="0.25">
      <c r="I100">
        <v>11</v>
      </c>
      <c r="J100" s="17">
        <v>46092</v>
      </c>
    </row>
    <row r="103" spans="7:11" x14ac:dyDescent="0.25">
      <c r="G103" s="39" t="s">
        <v>89</v>
      </c>
      <c r="H103" s="39"/>
      <c r="I103" s="39"/>
      <c r="J103" s="39"/>
      <c r="K103" s="39"/>
    </row>
    <row r="104" spans="7:11" x14ac:dyDescent="0.25">
      <c r="G104" s="39"/>
      <c r="H104" s="39"/>
      <c r="I104" s="39"/>
      <c r="J104" s="39"/>
      <c r="K104" s="39"/>
    </row>
    <row r="105" spans="7:11" x14ac:dyDescent="0.25">
      <c r="G105" s="39"/>
      <c r="H105" s="39"/>
      <c r="I105" s="39"/>
      <c r="J105" s="39"/>
      <c r="K105" s="39"/>
    </row>
    <row r="106" spans="7:11" x14ac:dyDescent="0.25">
      <c r="G106" s="20" t="s">
        <v>36</v>
      </c>
      <c r="H106" s="20" t="s">
        <v>37</v>
      </c>
      <c r="I106" s="20" t="s">
        <v>38</v>
      </c>
      <c r="J106" s="21" t="s">
        <v>39</v>
      </c>
    </row>
    <row r="107" spans="7:11" x14ac:dyDescent="0.25">
      <c r="G107" s="18">
        <v>1</v>
      </c>
      <c r="H107" s="18" t="s">
        <v>41</v>
      </c>
      <c r="I107" s="18" t="s">
        <v>48</v>
      </c>
      <c r="J107">
        <v>5000</v>
      </c>
    </row>
    <row r="108" spans="7:11" x14ac:dyDescent="0.25">
      <c r="G108" s="18">
        <v>2</v>
      </c>
      <c r="H108" s="18" t="s">
        <v>90</v>
      </c>
      <c r="I108" s="18" t="s">
        <v>49</v>
      </c>
      <c r="J108">
        <v>21000</v>
      </c>
    </row>
    <row r="109" spans="7:11" x14ac:dyDescent="0.25">
      <c r="G109" s="18">
        <v>3</v>
      </c>
      <c r="H109" s="18" t="s">
        <v>91</v>
      </c>
      <c r="I109" s="18" t="s">
        <v>50</v>
      </c>
      <c r="J109">
        <v>3000</v>
      </c>
    </row>
    <row r="110" spans="7:11" x14ac:dyDescent="0.25">
      <c r="G110" s="18">
        <v>4</v>
      </c>
      <c r="H110" s="18" t="s">
        <v>92</v>
      </c>
      <c r="I110" s="18" t="s">
        <v>51</v>
      </c>
      <c r="J110">
        <v>5000</v>
      </c>
    </row>
    <row r="111" spans="7:11" x14ac:dyDescent="0.25">
      <c r="G111" s="18">
        <v>5</v>
      </c>
      <c r="H111" s="18" t="s">
        <v>93</v>
      </c>
      <c r="I111" s="18" t="s">
        <v>52</v>
      </c>
      <c r="J111">
        <v>6000</v>
      </c>
    </row>
    <row r="112" spans="7:11" x14ac:dyDescent="0.25">
      <c r="G112" s="18">
        <v>6</v>
      </c>
      <c r="H112" s="18" t="s">
        <v>40</v>
      </c>
      <c r="I112" s="18" t="s">
        <v>53</v>
      </c>
      <c r="J112">
        <v>10000</v>
      </c>
    </row>
    <row r="113" spans="7:10" x14ac:dyDescent="0.25">
      <c r="G113" s="18">
        <v>7</v>
      </c>
      <c r="H113" s="18" t="s">
        <v>41</v>
      </c>
      <c r="I113" s="18" t="s">
        <v>54</v>
      </c>
      <c r="J113">
        <v>11000</v>
      </c>
    </row>
    <row r="114" spans="7:10" x14ac:dyDescent="0.25">
      <c r="G114" s="18">
        <v>8</v>
      </c>
      <c r="H114" s="18" t="s">
        <v>91</v>
      </c>
      <c r="I114" s="18" t="s">
        <v>55</v>
      </c>
      <c r="J114">
        <v>6000</v>
      </c>
    </row>
    <row r="115" spans="7:10" x14ac:dyDescent="0.25">
      <c r="G115" s="18">
        <v>9</v>
      </c>
      <c r="H115" s="18" t="s">
        <v>90</v>
      </c>
      <c r="I115" s="18" t="s">
        <v>56</v>
      </c>
      <c r="J115">
        <v>10000</v>
      </c>
    </row>
    <row r="116" spans="7:10" x14ac:dyDescent="0.25">
      <c r="G116" s="18">
        <v>10</v>
      </c>
      <c r="H116" s="18" t="s">
        <v>80</v>
      </c>
      <c r="I116" s="18" t="s">
        <v>95</v>
      </c>
      <c r="J116">
        <v>8000</v>
      </c>
    </row>
    <row r="117" spans="7:10" x14ac:dyDescent="0.25">
      <c r="G117" s="18">
        <v>11</v>
      </c>
      <c r="H117" s="18" t="s">
        <v>94</v>
      </c>
      <c r="I117" s="18" t="s">
        <v>96</v>
      </c>
      <c r="J117">
        <v>9000</v>
      </c>
    </row>
    <row r="118" spans="7:10" x14ac:dyDescent="0.25">
      <c r="G118" s="18">
        <v>12</v>
      </c>
      <c r="H118" s="18" t="s">
        <v>92</v>
      </c>
      <c r="I118" s="18" t="s">
        <v>97</v>
      </c>
      <c r="J118">
        <v>14000</v>
      </c>
    </row>
    <row r="119" spans="7:10" x14ac:dyDescent="0.25">
      <c r="G119" s="18" t="s">
        <v>86</v>
      </c>
      <c r="H119" s="18"/>
      <c r="I119" s="18"/>
      <c r="J119">
        <f>SUBTOTAL(109,Table2[Salary])</f>
        <v>108000</v>
      </c>
    </row>
  </sheetData>
  <mergeCells count="7">
    <mergeCell ref="G103:K105"/>
    <mergeCell ref="F70:I72"/>
    <mergeCell ref="F49:I50"/>
    <mergeCell ref="F51:I52"/>
    <mergeCell ref="E26:G30"/>
    <mergeCell ref="E35:H36"/>
    <mergeCell ref="F67:H68"/>
  </mergeCells>
  <phoneticPr fontId="2" type="noConversion"/>
  <conditionalFormatting sqref="F37:F46">
    <cfRule type="duplicateValues" dxfId="6" priority="4"/>
  </conditionalFormatting>
  <conditionalFormatting sqref="F37:F47">
    <cfRule type="containsText" dxfId="5" priority="5" operator="containsText" text="Sapna">
      <formula>NOT(ISERROR(SEARCH("Sapna",F37)))</formula>
    </cfRule>
    <cfRule type="containsText" dxfId="4" priority="6" operator="containsText" text="Name">
      <formula>NOT(ISERROR(SEARCH("Name",F37)))</formula>
    </cfRule>
  </conditionalFormatting>
  <conditionalFormatting sqref="G53:I55 G56:H64 I57:I65 I56:J56">
    <cfRule type="top10" dxfId="3" priority="3" percent="1" rank="10"/>
  </conditionalFormatting>
  <conditionalFormatting sqref="G54:I55 G56:H64 I57:I65 I56:J56">
    <cfRule type="top10" dxfId="2" priority="2" percent="1" bottom="1" rank="10"/>
  </conditionalFormatting>
  <conditionalFormatting sqref="G54:I55 I56:J56 G56:H64 I57:I65">
    <cfRule type="cellIs" dxfId="1" priority="7" operator="between">
      <formula>50000</formula>
      <formula>100000</formula>
    </cfRule>
  </conditionalFormatting>
  <conditionalFormatting sqref="H38:H46">
    <cfRule type="cellIs" dxfId="0" priority="8" operator="greaterThan">
      <formula>1000</formula>
    </cfRule>
  </conditionalFormatting>
  <conditionalFormatting sqref="I54:I55 I57:I65 J56">
    <cfRule type="iconSet" priority="15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3" orientation="portrait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DEC3-5610-4A54-9144-81A1AAC94A6E}">
  <dimension ref="C2:J18"/>
  <sheetViews>
    <sheetView tabSelected="1" topLeftCell="B2" workbookViewId="0">
      <selection activeCell="R16" sqref="R16"/>
    </sheetView>
  </sheetViews>
  <sheetFormatPr defaultRowHeight="15" x14ac:dyDescent="0.25"/>
  <cols>
    <col min="4" max="4" width="17" bestFit="1" customWidth="1"/>
    <col min="5" max="5" width="20.28515625" customWidth="1"/>
    <col min="6" max="6" width="17.85546875" customWidth="1"/>
    <col min="7" max="7" width="10.28515625" customWidth="1"/>
  </cols>
  <sheetData>
    <row r="2" spans="3:10" x14ac:dyDescent="0.25">
      <c r="C2" s="25"/>
    </row>
    <row r="3" spans="3:10" ht="15" customHeight="1" thickBot="1" x14ac:dyDescent="0.35">
      <c r="E3" s="38" t="s">
        <v>110</v>
      </c>
      <c r="F3" s="38"/>
      <c r="G3" s="38"/>
      <c r="I3" s="32"/>
    </row>
    <row r="4" spans="3:10" ht="15" customHeight="1" thickTop="1" x14ac:dyDescent="0.25">
      <c r="E4" s="38"/>
      <c r="F4" s="38"/>
      <c r="G4" s="38"/>
    </row>
    <row r="6" spans="3:10" x14ac:dyDescent="0.25">
      <c r="E6" s="31" t="s">
        <v>101</v>
      </c>
      <c r="F6" s="31" t="s">
        <v>102</v>
      </c>
      <c r="G6" s="27" t="s">
        <v>103</v>
      </c>
    </row>
    <row r="7" spans="3:10" x14ac:dyDescent="0.25">
      <c r="E7" s="33">
        <v>46095</v>
      </c>
      <c r="F7" s="34" t="s">
        <v>104</v>
      </c>
      <c r="G7" s="35">
        <v>500</v>
      </c>
      <c r="J7" s="26"/>
    </row>
    <row r="8" spans="3:10" x14ac:dyDescent="0.25">
      <c r="E8" s="33">
        <v>46126</v>
      </c>
      <c r="F8" s="34" t="s">
        <v>105</v>
      </c>
      <c r="G8" s="35">
        <v>20000</v>
      </c>
    </row>
    <row r="9" spans="3:10" x14ac:dyDescent="0.25">
      <c r="E9" s="33">
        <v>46156</v>
      </c>
      <c r="F9" s="34" t="s">
        <v>106</v>
      </c>
      <c r="G9" s="35">
        <v>7000</v>
      </c>
    </row>
    <row r="10" spans="3:10" x14ac:dyDescent="0.25">
      <c r="E10" s="24">
        <v>46188</v>
      </c>
      <c r="F10" s="18" t="s">
        <v>107</v>
      </c>
      <c r="G10" s="25">
        <v>5000</v>
      </c>
    </row>
    <row r="11" spans="3:10" x14ac:dyDescent="0.25">
      <c r="E11" s="24">
        <v>46217</v>
      </c>
      <c r="F11" s="18" t="s">
        <v>108</v>
      </c>
      <c r="G11" s="25">
        <v>10000</v>
      </c>
    </row>
    <row r="12" spans="3:10" x14ac:dyDescent="0.25">
      <c r="E12" s="24">
        <v>46248</v>
      </c>
      <c r="F12" s="18" t="s">
        <v>106</v>
      </c>
      <c r="G12" s="25">
        <v>7000</v>
      </c>
    </row>
    <row r="13" spans="3:10" x14ac:dyDescent="0.25">
      <c r="E13" s="24">
        <v>46279</v>
      </c>
      <c r="F13" s="18" t="s">
        <v>106</v>
      </c>
      <c r="G13" s="25">
        <v>7000</v>
      </c>
    </row>
    <row r="14" spans="3:10" x14ac:dyDescent="0.25">
      <c r="E14" s="28"/>
      <c r="F14" s="29" t="s">
        <v>109</v>
      </c>
      <c r="G14" s="30">
        <f>SUM(G7:G13)</f>
        <v>56500</v>
      </c>
    </row>
    <row r="15" spans="3:10" x14ac:dyDescent="0.25">
      <c r="D15" s="19"/>
    </row>
    <row r="18" spans="4:6" x14ac:dyDescent="0.25">
      <c r="D18" s="36"/>
      <c r="E18" s="37"/>
      <c r="F18" s="37"/>
    </row>
  </sheetData>
  <mergeCells count="2">
    <mergeCell ref="D18:F18"/>
    <mergeCell ref="E3:G4"/>
  </mergeCells>
  <conditionalFormatting sqref="G7:G14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{B6BFBAE3-EB5D-4F43-831E-D4613406CE35}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BFBAE3-EB5D-4F43-831E-D4613406CE3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G7:G14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Lecture 8</vt:lpstr>
      <vt:lpstr>Tamanna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</dc:creator>
  <cp:lastModifiedBy>ritika mishra</cp:lastModifiedBy>
  <cp:lastPrinted>2026-03-05T07:56:50Z</cp:lastPrinted>
  <dcterms:created xsi:type="dcterms:W3CDTF">2015-06-05T18:17:20Z</dcterms:created>
  <dcterms:modified xsi:type="dcterms:W3CDTF">2026-09-22T16:10:43Z</dcterms:modified>
</cp:coreProperties>
</file>